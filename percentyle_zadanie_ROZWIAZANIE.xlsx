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82234AB3-6B24-C443-974E-13677DBCBC9E}" xr6:coauthVersionLast="47" xr6:coauthVersionMax="47" xr10:uidLastSave="{00000000-0000-0000-0000-000000000000}"/>
  <bookViews>
    <workbookView xWindow="52580" yWindow="600" windowWidth="31220" windowHeight="19080" activeTab="1" xr2:uid="{00000000-000D-0000-FFFF-FFFF00000000}"/>
  </bookViews>
  <sheets>
    <sheet name="Percentyle - Zadanie" sheetId="1" r:id="rId1"/>
    <sheet name="ROZWIĄZANI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2" i="1" l="1"/>
  <c r="C232" i="1" s="1"/>
  <c r="F221" i="1"/>
  <c r="C231" i="1" s="1"/>
  <c r="F220" i="1"/>
  <c r="C230" i="1" s="1"/>
  <c r="F219" i="1"/>
  <c r="C229" i="1" s="1"/>
  <c r="B109" i="1"/>
  <c r="B230" i="1" s="1"/>
  <c r="B110" i="1"/>
  <c r="B231" i="1" s="1"/>
  <c r="B111" i="1"/>
  <c r="B232" i="1" s="1"/>
  <c r="B108" i="1"/>
  <c r="B229" i="1" s="1"/>
  <c r="E21" i="2"/>
  <c r="E20" i="2"/>
  <c r="E19" i="2"/>
  <c r="E18" i="2"/>
  <c r="E17" i="2"/>
  <c r="F218" i="1"/>
  <c r="C228" i="1" s="1"/>
  <c r="B107" i="1"/>
  <c r="B228" i="1" s="1"/>
  <c r="D230" i="1" l="1"/>
  <c r="E230" i="1" s="1"/>
  <c r="D231" i="1"/>
  <c r="E231" i="1" s="1"/>
  <c r="D229" i="1"/>
  <c r="E229" i="1" s="1"/>
  <c r="D232" i="1"/>
  <c r="E232" i="1" s="1"/>
  <c r="D228" i="1"/>
  <c r="E228" i="1" s="1"/>
</calcChain>
</file>

<file path=xl/sharedStrings.xml><?xml version="1.0" encoding="utf-8"?>
<sst xmlns="http://schemas.openxmlformats.org/spreadsheetml/2006/main" count="80" uniqueCount="62">
  <si>
    <t>ANALIZA PERCENTYLI - CZASY ODPOWIEDZI ŻĄDAŃ</t>
  </si>
  <si>
    <t>SCENARIUSZ 1: PRZED OPTYMALIZACJĄ</t>
  </si>
  <si>
    <t>Lp.</t>
  </si>
  <si>
    <t>Czas odpowiedzi (ms)</t>
  </si>
  <si>
    <t>Średnia (AVERAGE)</t>
  </si>
  <si>
    <t>P50 (Mediana)</t>
  </si>
  <si>
    <t>P90</t>
  </si>
  <si>
    <t>P95</t>
  </si>
  <si>
    <t>P99</t>
  </si>
  <si>
    <t>SCENARIUSZ 2: PO OPTYMALIZACJI</t>
  </si>
  <si>
    <t>PORÓWNANIE SCENARIUSZY</t>
  </si>
  <si>
    <t>Metrika</t>
  </si>
  <si>
    <t>Przed (ms)</t>
  </si>
  <si>
    <t>Po (ms)</t>
  </si>
  <si>
    <t>Poprawa (ms)</t>
  </si>
  <si>
    <t>Poprawa (%)</t>
  </si>
  <si>
    <t>Średnia</t>
  </si>
  <si>
    <t>P50</t>
  </si>
  <si>
    <t>⚠️  WYTYCZNE DO ANALIZY</t>
  </si>
  <si>
    <t>• P90 to doświadczenie większości użytkowników (90% szybciej)</t>
  </si>
  <si>
    <t>• P95 to nasze SLA (Service Level Agreement) - umowa z klientem</t>
  </si>
  <si>
    <t>• P99 to edge cases - wskaźnik zdrowia systemu</t>
  </si>
  <si>
    <t>• NIGDY nie patrzcie na średnią! Zawsze na P90 i P95</t>
  </si>
  <si>
    <t>• Jeśli P95 &gt; 1s → użytkownicy zamykają kartę</t>
  </si>
  <si>
    <t>• Wzrost P99 → szukamy bottlenecka w systemie</t>
  </si>
  <si>
    <t>ROZWIĄZANIE: ANALIZA PERCENTYLI</t>
  </si>
  <si>
    <t>KROKI ROZWIĄZYWANIA:</t>
  </si>
  <si>
    <t>1. Zbieramy czasy odpowiedzi wszystkich żądań HTTP</t>
  </si>
  <si>
    <t>2. Sortujemy od najszybszego do najwolniejszego</t>
  </si>
  <si>
    <t>3. Znajdujemy punkt gdzie:</t>
  </si>
  <si>
    <t xml:space="preserve">   • 50% żądań szybciej = P50 (Mediana)</t>
  </si>
  <si>
    <t xml:space="preserve">   • 90% żądań szybciej = P90 (User Experience)</t>
  </si>
  <si>
    <t xml:space="preserve">   • 95% żądań szybciej = P95 (SLA)</t>
  </si>
  <si>
    <t xml:space="preserve">   • 99% żądań szybciej = P99 (Edge Cases)</t>
  </si>
  <si>
    <t>4. Patrzymy na TREND (czy rośnie czy spada)</t>
  </si>
  <si>
    <t>5. Porównujemy dwa scenariusze (przed i po optymalizacji)</t>
  </si>
  <si>
    <t>WYNIKI ANALIZY:</t>
  </si>
  <si>
    <t>Scenariusz 1
(Przed)</t>
  </si>
  <si>
    <t>Scenariusz 2
(Po)</t>
  </si>
  <si>
    <t>Wyjaśnienie</t>
  </si>
  <si>
    <t>Średnia artm. - zawodnicza!</t>
  </si>
  <si>
    <t>Mediana - połowa populacji</t>
  </si>
  <si>
    <t>90% użytkowników OK - główne UX</t>
  </si>
  <si>
    <t>SLA - umowa z klientem</t>
  </si>
  <si>
    <t>Edge cases - wskaźnik zdrowia</t>
  </si>
  <si>
    <t>✅ WNIOSKI Z ANALIZY:</t>
  </si>
  <si>
    <t>1. P90 (Doświadczenie UX): 632ms → 207ms</t>
  </si>
  <si>
    <t xml:space="preserve">   → Poprawa: 67% szybciej!</t>
  </si>
  <si>
    <t xml:space="preserve">   → Użytkownicy będą zadowoleni (&lt; 500ms to świetnie)</t>
  </si>
  <si>
    <t>2. P95 (SLA): 789ms → 307ms</t>
  </si>
  <si>
    <t xml:space="preserve">   → Poprawa: 61%</t>
  </si>
  <si>
    <t xml:space="preserve">   → 95% żądań spełnia nowy SLA</t>
  </si>
  <si>
    <t>3. P99 (Edge Cases): 1465ms → 524ms</t>
  </si>
  <si>
    <t xml:space="preserve">   → Poprawa: 64%</t>
  </si>
  <si>
    <t xml:space="preserve">   → System jest stabilniejszy - mniej outlierów</t>
  </si>
  <si>
    <t>4. ŚREDNIA (IGNOROWAĆ): 318ms → 131ms</t>
  </si>
  <si>
    <t xml:space="preserve">   → W scenariuszu 1 średnia jest ZWODNICZA!</t>
  </si>
  <si>
    <t xml:space="preserve">   → P95 (788ms) mówi prawdę - użytkownicy czekają</t>
  </si>
  <si>
    <t>⚠️ KLUCZ DO SUKCESU:</t>
  </si>
  <si>
    <t xml:space="preserve">   • PATRZEĆ NA P90 I P95, nie na średnią</t>
  </si>
  <si>
    <t xml:space="preserve">   • Jeśli P95 &gt; 1000ms → użytkownicy odchodzą</t>
  </si>
  <si>
    <t xml:space="preserve">   • Monitorować P99 - wzrost = problem techniczny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</si>
</sst>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</font>
    <font>
      <i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595959"/>
        <bgColor rgb="FF595959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03864"/>
        <b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5" borderId="0" xfId="0" applyFont="1" applyFill="1"/>
    <xf numFmtId="164" fontId="5" fillId="6" borderId="0" xfId="0" applyNumberFormat="1" applyFont="1" applyFill="1"/>
    <xf numFmtId="0" fontId="5" fillId="0" borderId="0" xfId="0" applyFont="1"/>
    <xf numFmtId="164" fontId="5" fillId="8" borderId="0" xfId="0" applyNumberFormat="1" applyFont="1" applyFill="1"/>
    <xf numFmtId="164" fontId="0" fillId="0" borderId="0" xfId="0" applyNumberFormat="1"/>
    <xf numFmtId="165" fontId="0" fillId="10" borderId="0" xfId="0" applyNumberFormat="1" applyFill="1"/>
    <xf numFmtId="0" fontId="3" fillId="4" borderId="0" xfId="0" applyFont="1" applyFill="1" applyAlignment="1">
      <alignment horizontal="center" wrapText="1"/>
    </xf>
    <xf numFmtId="164" fontId="0" fillId="0" borderId="0" xfId="0" applyNumberFormat="1" applyAlignment="1">
      <alignment horizontal="right"/>
    </xf>
    <xf numFmtId="164" fontId="0" fillId="8" borderId="0" xfId="0" applyNumberFormat="1" applyFill="1" applyAlignment="1">
      <alignment horizontal="right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7" fillId="0" borderId="0" xfId="0" applyFont="1"/>
    <xf numFmtId="0" fontId="2" fillId="9" borderId="0" xfId="0" applyFont="1" applyFill="1" applyAlignment="1">
      <alignment horizontal="center"/>
    </xf>
    <xf numFmtId="0" fontId="6" fillId="0" borderId="0" xfId="0" applyFont="1"/>
    <xf numFmtId="0" fontId="2" fillId="3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7" borderId="0" xfId="0" applyFont="1" applyFill="1"/>
    <xf numFmtId="0" fontId="1" fillId="11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opLeftCell="A200" workbookViewId="0">
      <selection activeCell="C228" sqref="C228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6.6640625" bestFit="1" customWidth="1"/>
    <col min="4" max="4" width="11.33203125" bestFit="1" customWidth="1"/>
    <col min="5" max="5" width="25" customWidth="1"/>
    <col min="6" max="6" width="20" customWidth="1"/>
  </cols>
  <sheetData>
    <row r="1" spans="1:4" ht="25" customHeight="1" x14ac:dyDescent="0.25">
      <c r="A1" s="14" t="s">
        <v>0</v>
      </c>
      <c r="B1" s="15"/>
      <c r="C1" s="15"/>
      <c r="D1" s="15"/>
    </row>
    <row r="3" spans="1:4" x14ac:dyDescent="0.2">
      <c r="A3" s="19" t="s">
        <v>1</v>
      </c>
      <c r="B3" s="15"/>
      <c r="C3" s="15"/>
      <c r="D3" s="15"/>
    </row>
    <row r="4" spans="1:4" x14ac:dyDescent="0.2">
      <c r="A4" s="1" t="s">
        <v>2</v>
      </c>
      <c r="B4" s="1" t="s">
        <v>3</v>
      </c>
      <c r="C4" s="1"/>
      <c r="D4" s="1"/>
    </row>
    <row r="5" spans="1:4" x14ac:dyDescent="0.2">
      <c r="A5" s="2">
        <v>1</v>
      </c>
      <c r="B5" s="3">
        <v>106</v>
      </c>
    </row>
    <row r="6" spans="1:4" x14ac:dyDescent="0.2">
      <c r="A6" s="2">
        <v>2</v>
      </c>
      <c r="B6" s="3">
        <v>251</v>
      </c>
    </row>
    <row r="7" spans="1:4" x14ac:dyDescent="0.2">
      <c r="A7" s="2">
        <v>3</v>
      </c>
      <c r="B7" s="3">
        <v>239</v>
      </c>
    </row>
    <row r="8" spans="1:4" x14ac:dyDescent="0.2">
      <c r="A8" s="2">
        <v>4</v>
      </c>
      <c r="B8" s="3">
        <v>106</v>
      </c>
    </row>
    <row r="9" spans="1:4" x14ac:dyDescent="0.2">
      <c r="A9" s="2">
        <v>5</v>
      </c>
      <c r="B9" s="3">
        <v>727</v>
      </c>
    </row>
    <row r="10" spans="1:4" x14ac:dyDescent="0.2">
      <c r="A10" s="2">
        <v>6</v>
      </c>
      <c r="B10" s="3">
        <v>217</v>
      </c>
    </row>
    <row r="11" spans="1:4" x14ac:dyDescent="0.2">
      <c r="A11" s="2">
        <v>7</v>
      </c>
      <c r="B11" s="3">
        <v>294</v>
      </c>
    </row>
    <row r="12" spans="1:4" x14ac:dyDescent="0.2">
      <c r="A12" s="2">
        <v>8</v>
      </c>
      <c r="B12" s="3">
        <v>283</v>
      </c>
    </row>
    <row r="13" spans="1:4" x14ac:dyDescent="0.2">
      <c r="A13" s="2">
        <v>9</v>
      </c>
      <c r="B13" s="3">
        <v>123</v>
      </c>
    </row>
    <row r="14" spans="1:4" x14ac:dyDescent="0.2">
      <c r="A14" s="2">
        <v>10</v>
      </c>
      <c r="B14" s="3">
        <v>122</v>
      </c>
    </row>
    <row r="15" spans="1:4" x14ac:dyDescent="0.2">
      <c r="A15" s="2">
        <v>11</v>
      </c>
      <c r="B15" s="3">
        <v>128</v>
      </c>
    </row>
    <row r="16" spans="1:4" x14ac:dyDescent="0.2">
      <c r="A16" s="2">
        <v>12</v>
      </c>
      <c r="B16" s="3">
        <v>208</v>
      </c>
    </row>
    <row r="17" spans="1:2" x14ac:dyDescent="0.2">
      <c r="A17" s="2">
        <v>13</v>
      </c>
      <c r="B17" s="3">
        <v>140</v>
      </c>
    </row>
    <row r="18" spans="1:2" x14ac:dyDescent="0.2">
      <c r="A18" s="2">
        <v>14</v>
      </c>
      <c r="B18" s="3">
        <v>208</v>
      </c>
    </row>
    <row r="19" spans="1:2" x14ac:dyDescent="0.2">
      <c r="A19" s="2">
        <v>15</v>
      </c>
      <c r="B19" s="3">
        <v>186</v>
      </c>
    </row>
    <row r="20" spans="1:2" x14ac:dyDescent="0.2">
      <c r="A20" s="2">
        <v>16</v>
      </c>
      <c r="B20" s="3">
        <v>214</v>
      </c>
    </row>
    <row r="21" spans="1:2" x14ac:dyDescent="0.2">
      <c r="A21" s="2">
        <v>17</v>
      </c>
      <c r="B21" s="3">
        <v>254</v>
      </c>
    </row>
    <row r="22" spans="1:2" x14ac:dyDescent="0.2">
      <c r="A22" s="2">
        <v>18</v>
      </c>
      <c r="B22" s="3">
        <v>192</v>
      </c>
    </row>
    <row r="23" spans="1:2" x14ac:dyDescent="0.2">
      <c r="A23" s="2">
        <v>19</v>
      </c>
      <c r="B23" s="3">
        <v>289</v>
      </c>
    </row>
    <row r="24" spans="1:2" x14ac:dyDescent="0.2">
      <c r="A24" s="2">
        <v>20</v>
      </c>
      <c r="B24" s="3">
        <v>111</v>
      </c>
    </row>
    <row r="25" spans="1:2" x14ac:dyDescent="0.2">
      <c r="A25" s="2">
        <v>21</v>
      </c>
      <c r="B25" s="3">
        <v>157</v>
      </c>
    </row>
    <row r="26" spans="1:2" x14ac:dyDescent="0.2">
      <c r="A26" s="2">
        <v>22</v>
      </c>
      <c r="B26" s="3">
        <v>155</v>
      </c>
    </row>
    <row r="27" spans="1:2" x14ac:dyDescent="0.2">
      <c r="A27" s="2">
        <v>23</v>
      </c>
      <c r="B27" s="3">
        <v>167</v>
      </c>
    </row>
    <row r="28" spans="1:2" x14ac:dyDescent="0.2">
      <c r="A28" s="2">
        <v>24</v>
      </c>
      <c r="B28" s="3">
        <v>150</v>
      </c>
    </row>
    <row r="29" spans="1:2" x14ac:dyDescent="0.2">
      <c r="A29" s="2">
        <v>25</v>
      </c>
      <c r="B29" s="3">
        <v>237</v>
      </c>
    </row>
    <row r="30" spans="1:2" x14ac:dyDescent="0.2">
      <c r="A30" s="2">
        <v>26</v>
      </c>
      <c r="B30" s="3">
        <v>1346</v>
      </c>
    </row>
    <row r="31" spans="1:2" x14ac:dyDescent="0.2">
      <c r="A31" s="2">
        <v>27</v>
      </c>
      <c r="B31" s="3">
        <v>120</v>
      </c>
    </row>
    <row r="32" spans="1:2" x14ac:dyDescent="0.2">
      <c r="A32" s="2">
        <v>28</v>
      </c>
      <c r="B32" s="3">
        <v>207</v>
      </c>
    </row>
    <row r="33" spans="1:2" x14ac:dyDescent="0.2">
      <c r="A33" s="2">
        <v>29</v>
      </c>
      <c r="B33" s="3">
        <v>175</v>
      </c>
    </row>
    <row r="34" spans="1:2" x14ac:dyDescent="0.2">
      <c r="A34" s="2">
        <v>30</v>
      </c>
      <c r="B34" s="3">
        <v>241</v>
      </c>
    </row>
    <row r="35" spans="1:2" x14ac:dyDescent="0.2">
      <c r="A35" s="2">
        <v>31</v>
      </c>
      <c r="B35" s="3">
        <v>649</v>
      </c>
    </row>
    <row r="36" spans="1:2" x14ac:dyDescent="0.2">
      <c r="A36" s="2">
        <v>32</v>
      </c>
      <c r="B36" s="3">
        <v>295</v>
      </c>
    </row>
    <row r="37" spans="1:2" x14ac:dyDescent="0.2">
      <c r="A37" s="2">
        <v>33</v>
      </c>
      <c r="B37" s="3">
        <v>139</v>
      </c>
    </row>
    <row r="38" spans="1:2" x14ac:dyDescent="0.2">
      <c r="A38" s="2">
        <v>34</v>
      </c>
      <c r="B38" s="3">
        <v>247</v>
      </c>
    </row>
    <row r="39" spans="1:2" x14ac:dyDescent="0.2">
      <c r="A39" s="2">
        <v>35</v>
      </c>
      <c r="B39" s="3">
        <v>975</v>
      </c>
    </row>
    <row r="40" spans="1:2" x14ac:dyDescent="0.2">
      <c r="A40" s="2">
        <v>36</v>
      </c>
      <c r="B40" s="3">
        <v>254</v>
      </c>
    </row>
    <row r="41" spans="1:2" x14ac:dyDescent="0.2">
      <c r="A41" s="2">
        <v>37</v>
      </c>
      <c r="B41" s="3">
        <v>174</v>
      </c>
    </row>
    <row r="42" spans="1:2" x14ac:dyDescent="0.2">
      <c r="A42" s="2">
        <v>38</v>
      </c>
      <c r="B42" s="3">
        <v>436</v>
      </c>
    </row>
    <row r="43" spans="1:2" x14ac:dyDescent="0.2">
      <c r="A43" s="2">
        <v>39</v>
      </c>
      <c r="B43" s="3">
        <v>229</v>
      </c>
    </row>
    <row r="44" spans="1:2" x14ac:dyDescent="0.2">
      <c r="A44" s="2">
        <v>40</v>
      </c>
      <c r="B44" s="3">
        <v>258</v>
      </c>
    </row>
    <row r="45" spans="1:2" x14ac:dyDescent="0.2">
      <c r="A45" s="2">
        <v>41</v>
      </c>
      <c r="B45" s="3">
        <v>486</v>
      </c>
    </row>
    <row r="46" spans="1:2" x14ac:dyDescent="0.2">
      <c r="A46" s="2">
        <v>42</v>
      </c>
      <c r="B46" s="3">
        <v>120</v>
      </c>
    </row>
    <row r="47" spans="1:2" x14ac:dyDescent="0.2">
      <c r="A47" s="2">
        <v>43</v>
      </c>
      <c r="B47" s="3">
        <v>263</v>
      </c>
    </row>
    <row r="48" spans="1:2" x14ac:dyDescent="0.2">
      <c r="A48" s="2">
        <v>44</v>
      </c>
      <c r="B48" s="3">
        <v>101</v>
      </c>
    </row>
    <row r="49" spans="1:2" x14ac:dyDescent="0.2">
      <c r="A49" s="2">
        <v>45</v>
      </c>
      <c r="B49" s="3">
        <v>108</v>
      </c>
    </row>
    <row r="50" spans="1:2" x14ac:dyDescent="0.2">
      <c r="A50" s="2">
        <v>46</v>
      </c>
      <c r="B50" s="3">
        <v>117</v>
      </c>
    </row>
    <row r="51" spans="1:2" x14ac:dyDescent="0.2">
      <c r="A51" s="2">
        <v>47</v>
      </c>
      <c r="B51" s="3">
        <v>659</v>
      </c>
    </row>
    <row r="52" spans="1:2" x14ac:dyDescent="0.2">
      <c r="A52" s="2">
        <v>48</v>
      </c>
      <c r="B52" s="3">
        <v>149</v>
      </c>
    </row>
    <row r="53" spans="1:2" x14ac:dyDescent="0.2">
      <c r="A53" s="2">
        <v>49</v>
      </c>
      <c r="B53" s="3">
        <v>124</v>
      </c>
    </row>
    <row r="54" spans="1:2" x14ac:dyDescent="0.2">
      <c r="A54" s="2">
        <v>50</v>
      </c>
      <c r="B54" s="3">
        <v>243</v>
      </c>
    </row>
    <row r="55" spans="1:2" x14ac:dyDescent="0.2">
      <c r="A55" s="2">
        <v>51</v>
      </c>
      <c r="B55" s="3">
        <v>481</v>
      </c>
    </row>
    <row r="56" spans="1:2" x14ac:dyDescent="0.2">
      <c r="A56" s="2">
        <v>52</v>
      </c>
      <c r="B56" s="3">
        <v>278</v>
      </c>
    </row>
    <row r="57" spans="1:2" x14ac:dyDescent="0.2">
      <c r="A57" s="2">
        <v>53</v>
      </c>
      <c r="B57" s="3">
        <v>197</v>
      </c>
    </row>
    <row r="58" spans="1:2" x14ac:dyDescent="0.2">
      <c r="A58" s="2">
        <v>54</v>
      </c>
      <c r="B58" s="3">
        <v>155</v>
      </c>
    </row>
    <row r="59" spans="1:2" x14ac:dyDescent="0.2">
      <c r="A59" s="2">
        <v>55</v>
      </c>
      <c r="B59" s="3">
        <v>159</v>
      </c>
    </row>
    <row r="60" spans="1:2" x14ac:dyDescent="0.2">
      <c r="A60" s="2">
        <v>56</v>
      </c>
      <c r="B60" s="3">
        <v>273</v>
      </c>
    </row>
    <row r="61" spans="1:2" x14ac:dyDescent="0.2">
      <c r="A61" s="2">
        <v>57</v>
      </c>
      <c r="B61" s="3">
        <v>171</v>
      </c>
    </row>
    <row r="62" spans="1:2" x14ac:dyDescent="0.2">
      <c r="A62" s="2">
        <v>58</v>
      </c>
      <c r="B62" s="3">
        <v>126</v>
      </c>
    </row>
    <row r="63" spans="1:2" x14ac:dyDescent="0.2">
      <c r="A63" s="2">
        <v>59</v>
      </c>
      <c r="B63" s="3">
        <v>631</v>
      </c>
    </row>
    <row r="64" spans="1:2" x14ac:dyDescent="0.2">
      <c r="A64" s="2">
        <v>60</v>
      </c>
      <c r="B64" s="3">
        <v>286</v>
      </c>
    </row>
    <row r="65" spans="1:2" x14ac:dyDescent="0.2">
      <c r="A65" s="2">
        <v>61</v>
      </c>
      <c r="B65" s="3">
        <v>289</v>
      </c>
    </row>
    <row r="66" spans="1:2" x14ac:dyDescent="0.2">
      <c r="A66" s="2">
        <v>62</v>
      </c>
      <c r="B66" s="3">
        <v>1450</v>
      </c>
    </row>
    <row r="67" spans="1:2" x14ac:dyDescent="0.2">
      <c r="A67" s="2">
        <v>63</v>
      </c>
      <c r="B67" s="3">
        <v>162</v>
      </c>
    </row>
    <row r="68" spans="1:2" x14ac:dyDescent="0.2">
      <c r="A68" s="2">
        <v>64</v>
      </c>
      <c r="B68" s="3">
        <v>125</v>
      </c>
    </row>
    <row r="69" spans="1:2" x14ac:dyDescent="0.2">
      <c r="A69" s="2">
        <v>65</v>
      </c>
      <c r="B69" s="3">
        <v>532</v>
      </c>
    </row>
    <row r="70" spans="1:2" x14ac:dyDescent="0.2">
      <c r="A70" s="2">
        <v>66</v>
      </c>
      <c r="B70" s="3">
        <v>779</v>
      </c>
    </row>
    <row r="71" spans="1:2" x14ac:dyDescent="0.2">
      <c r="A71" s="2">
        <v>67</v>
      </c>
      <c r="B71" s="3">
        <v>126</v>
      </c>
    </row>
    <row r="72" spans="1:2" x14ac:dyDescent="0.2">
      <c r="A72" s="2">
        <v>68</v>
      </c>
      <c r="B72" s="3">
        <v>383</v>
      </c>
    </row>
    <row r="73" spans="1:2" x14ac:dyDescent="0.2">
      <c r="A73" s="2">
        <v>69</v>
      </c>
      <c r="B73" s="3">
        <v>111</v>
      </c>
    </row>
    <row r="74" spans="1:2" x14ac:dyDescent="0.2">
      <c r="A74" s="2">
        <v>70</v>
      </c>
      <c r="B74" s="3">
        <v>297</v>
      </c>
    </row>
    <row r="75" spans="1:2" x14ac:dyDescent="0.2">
      <c r="A75" s="2">
        <v>71</v>
      </c>
      <c r="B75" s="3">
        <v>280</v>
      </c>
    </row>
    <row r="76" spans="1:2" x14ac:dyDescent="0.2">
      <c r="A76" s="2">
        <v>72</v>
      </c>
      <c r="B76" s="3">
        <v>2993</v>
      </c>
    </row>
    <row r="77" spans="1:2" x14ac:dyDescent="0.2">
      <c r="A77" s="2">
        <v>73</v>
      </c>
      <c r="B77" s="3">
        <v>107</v>
      </c>
    </row>
    <row r="78" spans="1:2" x14ac:dyDescent="0.2">
      <c r="A78" s="2">
        <v>74</v>
      </c>
      <c r="B78" s="3">
        <v>250</v>
      </c>
    </row>
    <row r="79" spans="1:2" x14ac:dyDescent="0.2">
      <c r="A79" s="2">
        <v>75</v>
      </c>
      <c r="B79" s="3">
        <v>123</v>
      </c>
    </row>
    <row r="80" spans="1:2" x14ac:dyDescent="0.2">
      <c r="A80" s="2">
        <v>76</v>
      </c>
      <c r="B80" s="3">
        <v>131</v>
      </c>
    </row>
    <row r="81" spans="1:2" x14ac:dyDescent="0.2">
      <c r="A81" s="2">
        <v>77</v>
      </c>
      <c r="B81" s="3">
        <v>191</v>
      </c>
    </row>
    <row r="82" spans="1:2" x14ac:dyDescent="0.2">
      <c r="A82" s="2">
        <v>78</v>
      </c>
      <c r="B82" s="3">
        <v>260</v>
      </c>
    </row>
    <row r="83" spans="1:2" x14ac:dyDescent="0.2">
      <c r="A83" s="2">
        <v>79</v>
      </c>
      <c r="B83" s="3">
        <v>336</v>
      </c>
    </row>
    <row r="84" spans="1:2" x14ac:dyDescent="0.2">
      <c r="A84" s="2">
        <v>80</v>
      </c>
      <c r="B84" s="3">
        <v>489</v>
      </c>
    </row>
    <row r="85" spans="1:2" x14ac:dyDescent="0.2">
      <c r="A85" s="2">
        <v>81</v>
      </c>
      <c r="B85" s="3">
        <v>158</v>
      </c>
    </row>
    <row r="86" spans="1:2" x14ac:dyDescent="0.2">
      <c r="A86" s="2">
        <v>82</v>
      </c>
      <c r="B86" s="3">
        <v>266</v>
      </c>
    </row>
    <row r="87" spans="1:2" x14ac:dyDescent="0.2">
      <c r="A87" s="2">
        <v>83</v>
      </c>
      <c r="B87" s="3">
        <v>288</v>
      </c>
    </row>
    <row r="88" spans="1:2" x14ac:dyDescent="0.2">
      <c r="A88" s="2">
        <v>84</v>
      </c>
      <c r="B88" s="3">
        <v>1423</v>
      </c>
    </row>
    <row r="89" spans="1:2" x14ac:dyDescent="0.2">
      <c r="A89" s="2">
        <v>85</v>
      </c>
      <c r="B89" s="3">
        <v>188</v>
      </c>
    </row>
    <row r="90" spans="1:2" x14ac:dyDescent="0.2">
      <c r="A90" s="2">
        <v>86</v>
      </c>
      <c r="B90" s="3">
        <v>187</v>
      </c>
    </row>
    <row r="91" spans="1:2" x14ac:dyDescent="0.2">
      <c r="A91" s="2">
        <v>87</v>
      </c>
      <c r="B91" s="3">
        <v>170</v>
      </c>
    </row>
    <row r="92" spans="1:2" x14ac:dyDescent="0.2">
      <c r="A92" s="2">
        <v>88</v>
      </c>
      <c r="B92" s="3">
        <v>239</v>
      </c>
    </row>
    <row r="93" spans="1:2" x14ac:dyDescent="0.2">
      <c r="A93" s="2">
        <v>89</v>
      </c>
      <c r="B93" s="3">
        <v>135</v>
      </c>
    </row>
    <row r="94" spans="1:2" x14ac:dyDescent="0.2">
      <c r="A94" s="2">
        <v>90</v>
      </c>
      <c r="B94" s="3">
        <v>171</v>
      </c>
    </row>
    <row r="95" spans="1:2" x14ac:dyDescent="0.2">
      <c r="A95" s="2">
        <v>91</v>
      </c>
      <c r="B95" s="3">
        <v>407</v>
      </c>
    </row>
    <row r="96" spans="1:2" x14ac:dyDescent="0.2">
      <c r="A96" s="2">
        <v>92</v>
      </c>
      <c r="B96" s="3">
        <v>279</v>
      </c>
    </row>
    <row r="97" spans="1:2" x14ac:dyDescent="0.2">
      <c r="A97" s="2">
        <v>93</v>
      </c>
      <c r="B97" s="3">
        <v>269</v>
      </c>
    </row>
    <row r="98" spans="1:2" x14ac:dyDescent="0.2">
      <c r="A98" s="2">
        <v>94</v>
      </c>
      <c r="B98" s="3">
        <v>643</v>
      </c>
    </row>
    <row r="99" spans="1:2" x14ac:dyDescent="0.2">
      <c r="A99" s="2">
        <v>95</v>
      </c>
      <c r="B99" s="3">
        <v>625</v>
      </c>
    </row>
    <row r="100" spans="1:2" x14ac:dyDescent="0.2">
      <c r="A100" s="2">
        <v>96</v>
      </c>
      <c r="B100" s="3">
        <v>171</v>
      </c>
    </row>
    <row r="101" spans="1:2" x14ac:dyDescent="0.2">
      <c r="A101" s="2">
        <v>97</v>
      </c>
      <c r="B101" s="3">
        <v>197</v>
      </c>
    </row>
    <row r="102" spans="1:2" x14ac:dyDescent="0.2">
      <c r="A102" s="2">
        <v>98</v>
      </c>
      <c r="B102" s="3">
        <v>196</v>
      </c>
    </row>
    <row r="103" spans="1:2" x14ac:dyDescent="0.2">
      <c r="A103" s="2">
        <v>99</v>
      </c>
      <c r="B103" s="3">
        <v>159</v>
      </c>
    </row>
    <row r="104" spans="1:2" x14ac:dyDescent="0.2">
      <c r="A104" s="2">
        <v>100</v>
      </c>
      <c r="B104" s="3">
        <v>156</v>
      </c>
    </row>
    <row r="107" spans="1:2" x14ac:dyDescent="0.2">
      <c r="A107" s="4" t="s">
        <v>4</v>
      </c>
      <c r="B107" s="5">
        <f>AVERAGE(B5:B105)</f>
        <v>318.77</v>
      </c>
    </row>
    <row r="108" spans="1:2" x14ac:dyDescent="0.2">
      <c r="A108" s="6" t="s">
        <v>5</v>
      </c>
      <c r="B108" s="5">
        <f>PERCENTILE(B5:B104,0.5)</f>
        <v>211</v>
      </c>
    </row>
    <row r="109" spans="1:2" x14ac:dyDescent="0.2">
      <c r="A109" s="6" t="s">
        <v>6</v>
      </c>
      <c r="B109" s="5">
        <f>PERCENTILE(B5:B104,0.9)</f>
        <v>632.20000000000005</v>
      </c>
    </row>
    <row r="110" spans="1:2" x14ac:dyDescent="0.2">
      <c r="A110" s="6" t="s">
        <v>7</v>
      </c>
      <c r="B110" s="5">
        <f>PERCENTILE(B5:B104,0.95)</f>
        <v>788.7999999999995</v>
      </c>
    </row>
    <row r="111" spans="1:2" x14ac:dyDescent="0.2">
      <c r="A111" s="6" t="s">
        <v>8</v>
      </c>
      <c r="B111" s="5">
        <f>PERCENTILE(B8:B104,0.99)</f>
        <v>1511.7199999999877</v>
      </c>
    </row>
    <row r="115" spans="5:8" x14ac:dyDescent="0.2">
      <c r="E115" s="20" t="s">
        <v>9</v>
      </c>
      <c r="F115" s="15"/>
      <c r="G115" s="15"/>
      <c r="H115" s="15"/>
    </row>
    <row r="116" spans="5:8" x14ac:dyDescent="0.2">
      <c r="E116" s="1" t="s">
        <v>2</v>
      </c>
      <c r="F116" s="1" t="s">
        <v>3</v>
      </c>
      <c r="G116" s="1"/>
      <c r="H116" s="1"/>
    </row>
    <row r="117" spans="5:8" x14ac:dyDescent="0.2">
      <c r="E117" s="2">
        <v>1</v>
      </c>
      <c r="F117" s="3">
        <v>66</v>
      </c>
    </row>
    <row r="118" spans="5:8" x14ac:dyDescent="0.2">
      <c r="E118" s="2">
        <v>2</v>
      </c>
      <c r="F118" s="3">
        <v>518</v>
      </c>
    </row>
    <row r="119" spans="5:8" x14ac:dyDescent="0.2">
      <c r="E119" s="2">
        <v>3</v>
      </c>
      <c r="F119" s="3">
        <v>140</v>
      </c>
    </row>
    <row r="120" spans="5:8" x14ac:dyDescent="0.2">
      <c r="E120" s="2">
        <v>4</v>
      </c>
      <c r="F120" s="3">
        <v>135</v>
      </c>
    </row>
    <row r="121" spans="5:8" x14ac:dyDescent="0.2">
      <c r="E121" s="2">
        <v>5</v>
      </c>
      <c r="F121" s="3">
        <v>52</v>
      </c>
    </row>
    <row r="122" spans="5:8" x14ac:dyDescent="0.2">
      <c r="E122" s="2">
        <v>6</v>
      </c>
      <c r="F122" s="3">
        <v>107</v>
      </c>
    </row>
    <row r="123" spans="5:8" x14ac:dyDescent="0.2">
      <c r="E123" s="2">
        <v>7</v>
      </c>
      <c r="F123" s="3">
        <v>57</v>
      </c>
    </row>
    <row r="124" spans="5:8" x14ac:dyDescent="0.2">
      <c r="E124" s="2">
        <v>8</v>
      </c>
      <c r="F124" s="3">
        <v>115</v>
      </c>
    </row>
    <row r="125" spans="5:8" x14ac:dyDescent="0.2">
      <c r="E125" s="2">
        <v>9</v>
      </c>
      <c r="F125" s="3">
        <v>101</v>
      </c>
    </row>
    <row r="126" spans="5:8" x14ac:dyDescent="0.2">
      <c r="E126" s="2">
        <v>10</v>
      </c>
      <c r="F126" s="3">
        <v>133</v>
      </c>
    </row>
    <row r="127" spans="5:8" x14ac:dyDescent="0.2">
      <c r="E127" s="2">
        <v>11</v>
      </c>
      <c r="F127" s="3">
        <v>62</v>
      </c>
    </row>
    <row r="128" spans="5:8" x14ac:dyDescent="0.2">
      <c r="E128" s="2">
        <v>12</v>
      </c>
      <c r="F128" s="3">
        <v>287</v>
      </c>
    </row>
    <row r="129" spans="5:6" x14ac:dyDescent="0.2">
      <c r="E129" s="2">
        <v>13</v>
      </c>
      <c r="F129" s="3">
        <v>185</v>
      </c>
    </row>
    <row r="130" spans="5:6" x14ac:dyDescent="0.2">
      <c r="E130" s="2">
        <v>14</v>
      </c>
      <c r="F130" s="3">
        <v>135</v>
      </c>
    </row>
    <row r="131" spans="5:6" x14ac:dyDescent="0.2">
      <c r="E131" s="2">
        <v>15</v>
      </c>
      <c r="F131" s="3">
        <v>65</v>
      </c>
    </row>
    <row r="132" spans="5:6" x14ac:dyDescent="0.2">
      <c r="E132" s="2">
        <v>16</v>
      </c>
      <c r="F132" s="3">
        <v>78</v>
      </c>
    </row>
    <row r="133" spans="5:6" x14ac:dyDescent="0.2">
      <c r="E133" s="2">
        <v>17</v>
      </c>
      <c r="F133" s="3">
        <v>102</v>
      </c>
    </row>
    <row r="134" spans="5:6" x14ac:dyDescent="0.2">
      <c r="E134" s="2">
        <v>18</v>
      </c>
      <c r="F134" s="3">
        <v>143</v>
      </c>
    </row>
    <row r="135" spans="5:6" x14ac:dyDescent="0.2">
      <c r="E135" s="2">
        <v>19</v>
      </c>
      <c r="F135" s="3">
        <v>123</v>
      </c>
    </row>
    <row r="136" spans="5:6" x14ac:dyDescent="0.2">
      <c r="E136" s="2">
        <v>20</v>
      </c>
      <c r="F136" s="3">
        <v>109</v>
      </c>
    </row>
    <row r="137" spans="5:6" x14ac:dyDescent="0.2">
      <c r="E137" s="2">
        <v>21</v>
      </c>
      <c r="F137" s="3">
        <v>138</v>
      </c>
    </row>
    <row r="138" spans="5:6" x14ac:dyDescent="0.2">
      <c r="E138" s="2">
        <v>22</v>
      </c>
      <c r="F138" s="3">
        <v>102</v>
      </c>
    </row>
    <row r="139" spans="5:6" x14ac:dyDescent="0.2">
      <c r="E139" s="2">
        <v>23</v>
      </c>
      <c r="F139" s="3">
        <v>463</v>
      </c>
    </row>
    <row r="140" spans="5:6" x14ac:dyDescent="0.2">
      <c r="E140" s="2">
        <v>24</v>
      </c>
      <c r="F140" s="3">
        <v>57</v>
      </c>
    </row>
    <row r="141" spans="5:6" x14ac:dyDescent="0.2">
      <c r="E141" s="2">
        <v>25</v>
      </c>
      <c r="F141" s="3">
        <v>79</v>
      </c>
    </row>
    <row r="142" spans="5:6" x14ac:dyDescent="0.2">
      <c r="E142" s="2">
        <v>26</v>
      </c>
      <c r="F142" s="3">
        <v>104</v>
      </c>
    </row>
    <row r="143" spans="5:6" x14ac:dyDescent="0.2">
      <c r="E143" s="2">
        <v>27</v>
      </c>
      <c r="F143" s="3">
        <v>83</v>
      </c>
    </row>
    <row r="144" spans="5:6" x14ac:dyDescent="0.2">
      <c r="E144" s="2">
        <v>28</v>
      </c>
      <c r="F144" s="3">
        <v>77</v>
      </c>
    </row>
    <row r="145" spans="5:6" x14ac:dyDescent="0.2">
      <c r="E145" s="2">
        <v>29</v>
      </c>
      <c r="F145" s="3">
        <v>71</v>
      </c>
    </row>
    <row r="146" spans="5:6" x14ac:dyDescent="0.2">
      <c r="E146" s="2">
        <v>30</v>
      </c>
      <c r="F146" s="3">
        <v>125</v>
      </c>
    </row>
    <row r="147" spans="5:6" x14ac:dyDescent="0.2">
      <c r="E147" s="2">
        <v>31</v>
      </c>
      <c r="F147" s="3">
        <v>196</v>
      </c>
    </row>
    <row r="148" spans="5:6" x14ac:dyDescent="0.2">
      <c r="E148" s="2">
        <v>32</v>
      </c>
      <c r="F148" s="3">
        <v>120</v>
      </c>
    </row>
    <row r="149" spans="5:6" x14ac:dyDescent="0.2">
      <c r="E149" s="2">
        <v>33</v>
      </c>
      <c r="F149" s="3">
        <v>354</v>
      </c>
    </row>
    <row r="150" spans="5:6" x14ac:dyDescent="0.2">
      <c r="E150" s="2">
        <v>34</v>
      </c>
      <c r="F150" s="3">
        <v>59</v>
      </c>
    </row>
    <row r="151" spans="5:6" x14ac:dyDescent="0.2">
      <c r="E151" s="2">
        <v>35</v>
      </c>
      <c r="F151" s="3">
        <v>101</v>
      </c>
    </row>
    <row r="152" spans="5:6" x14ac:dyDescent="0.2">
      <c r="E152" s="2">
        <v>36</v>
      </c>
      <c r="F152" s="3">
        <v>58</v>
      </c>
    </row>
    <row r="153" spans="5:6" x14ac:dyDescent="0.2">
      <c r="E153" s="2">
        <v>37</v>
      </c>
      <c r="F153" s="3">
        <v>104</v>
      </c>
    </row>
    <row r="154" spans="5:6" x14ac:dyDescent="0.2">
      <c r="E154" s="2">
        <v>38</v>
      </c>
      <c r="F154" s="3">
        <v>146</v>
      </c>
    </row>
    <row r="155" spans="5:6" x14ac:dyDescent="0.2">
      <c r="E155" s="2">
        <v>39</v>
      </c>
      <c r="F155" s="3">
        <v>150</v>
      </c>
    </row>
    <row r="156" spans="5:6" x14ac:dyDescent="0.2">
      <c r="E156" s="2">
        <v>40</v>
      </c>
      <c r="F156" s="3">
        <v>132</v>
      </c>
    </row>
    <row r="157" spans="5:6" x14ac:dyDescent="0.2">
      <c r="E157" s="2">
        <v>41</v>
      </c>
      <c r="F157" s="3">
        <v>62</v>
      </c>
    </row>
    <row r="158" spans="5:6" x14ac:dyDescent="0.2">
      <c r="E158" s="2">
        <v>42</v>
      </c>
      <c r="F158" s="3">
        <v>54</v>
      </c>
    </row>
    <row r="159" spans="5:6" x14ac:dyDescent="0.2">
      <c r="E159" s="2">
        <v>43</v>
      </c>
      <c r="F159" s="3">
        <v>106</v>
      </c>
    </row>
    <row r="160" spans="5:6" x14ac:dyDescent="0.2">
      <c r="E160" s="2">
        <v>44</v>
      </c>
      <c r="F160" s="3">
        <v>123</v>
      </c>
    </row>
    <row r="161" spans="5:6" x14ac:dyDescent="0.2">
      <c r="E161" s="2">
        <v>45</v>
      </c>
      <c r="F161" s="3">
        <v>78</v>
      </c>
    </row>
    <row r="162" spans="5:6" x14ac:dyDescent="0.2">
      <c r="E162" s="2">
        <v>46</v>
      </c>
      <c r="F162" s="3">
        <v>118</v>
      </c>
    </row>
    <row r="163" spans="5:6" x14ac:dyDescent="0.2">
      <c r="E163" s="2">
        <v>47</v>
      </c>
      <c r="F163" s="3">
        <v>77</v>
      </c>
    </row>
    <row r="164" spans="5:6" x14ac:dyDescent="0.2">
      <c r="E164" s="2">
        <v>48</v>
      </c>
      <c r="F164" s="3">
        <v>143</v>
      </c>
    </row>
    <row r="165" spans="5:6" x14ac:dyDescent="0.2">
      <c r="E165" s="2">
        <v>49</v>
      </c>
      <c r="F165" s="3">
        <v>199</v>
      </c>
    </row>
    <row r="166" spans="5:6" x14ac:dyDescent="0.2">
      <c r="E166" s="2">
        <v>50</v>
      </c>
      <c r="F166" s="3">
        <v>136</v>
      </c>
    </row>
    <row r="167" spans="5:6" x14ac:dyDescent="0.2">
      <c r="E167" s="2">
        <v>51</v>
      </c>
      <c r="F167" s="3">
        <v>74</v>
      </c>
    </row>
    <row r="168" spans="5:6" x14ac:dyDescent="0.2">
      <c r="E168" s="2">
        <v>52</v>
      </c>
      <c r="F168" s="3">
        <v>97</v>
      </c>
    </row>
    <row r="169" spans="5:6" x14ac:dyDescent="0.2">
      <c r="E169" s="2">
        <v>53</v>
      </c>
      <c r="F169" s="3">
        <v>119</v>
      </c>
    </row>
    <row r="170" spans="5:6" x14ac:dyDescent="0.2">
      <c r="E170" s="2">
        <v>54</v>
      </c>
      <c r="F170" s="3">
        <v>130</v>
      </c>
    </row>
    <row r="171" spans="5:6" x14ac:dyDescent="0.2">
      <c r="E171" s="2">
        <v>55</v>
      </c>
      <c r="F171" s="3">
        <v>619</v>
      </c>
    </row>
    <row r="172" spans="5:6" x14ac:dyDescent="0.2">
      <c r="E172" s="2">
        <v>56</v>
      </c>
      <c r="F172" s="3">
        <v>125</v>
      </c>
    </row>
    <row r="173" spans="5:6" x14ac:dyDescent="0.2">
      <c r="E173" s="2">
        <v>57</v>
      </c>
      <c r="F173" s="3">
        <v>66</v>
      </c>
    </row>
    <row r="174" spans="5:6" x14ac:dyDescent="0.2">
      <c r="E174" s="2">
        <v>58</v>
      </c>
      <c r="F174" s="3">
        <v>264</v>
      </c>
    </row>
    <row r="175" spans="5:6" x14ac:dyDescent="0.2">
      <c r="E175" s="2">
        <v>59</v>
      </c>
      <c r="F175" s="3">
        <v>56</v>
      </c>
    </row>
    <row r="176" spans="5:6" x14ac:dyDescent="0.2">
      <c r="E176" s="2">
        <v>60</v>
      </c>
      <c r="F176" s="3">
        <v>66</v>
      </c>
    </row>
    <row r="177" spans="5:6" x14ac:dyDescent="0.2">
      <c r="E177" s="2">
        <v>61</v>
      </c>
      <c r="F177" s="3">
        <v>58</v>
      </c>
    </row>
    <row r="178" spans="5:6" x14ac:dyDescent="0.2">
      <c r="E178" s="2">
        <v>62</v>
      </c>
      <c r="F178" s="3">
        <v>110</v>
      </c>
    </row>
    <row r="179" spans="5:6" x14ac:dyDescent="0.2">
      <c r="E179" s="2">
        <v>63</v>
      </c>
      <c r="F179" s="3">
        <v>148</v>
      </c>
    </row>
    <row r="180" spans="5:6" x14ac:dyDescent="0.2">
      <c r="E180" s="2">
        <v>64</v>
      </c>
      <c r="F180" s="3">
        <v>141</v>
      </c>
    </row>
    <row r="181" spans="5:6" x14ac:dyDescent="0.2">
      <c r="E181" s="2">
        <v>65</v>
      </c>
      <c r="F181" s="3">
        <v>177</v>
      </c>
    </row>
    <row r="182" spans="5:6" x14ac:dyDescent="0.2">
      <c r="E182" s="2">
        <v>66</v>
      </c>
      <c r="F182" s="3">
        <v>221</v>
      </c>
    </row>
    <row r="183" spans="5:6" x14ac:dyDescent="0.2">
      <c r="E183" s="2">
        <v>67</v>
      </c>
      <c r="F183" s="3">
        <v>62</v>
      </c>
    </row>
    <row r="184" spans="5:6" x14ac:dyDescent="0.2">
      <c r="E184" s="2">
        <v>68</v>
      </c>
      <c r="F184" s="3">
        <v>50</v>
      </c>
    </row>
    <row r="185" spans="5:6" x14ac:dyDescent="0.2">
      <c r="E185" s="2">
        <v>69</v>
      </c>
      <c r="F185" s="3">
        <v>258</v>
      </c>
    </row>
    <row r="186" spans="5:6" x14ac:dyDescent="0.2">
      <c r="E186" s="2">
        <v>70</v>
      </c>
      <c r="F186" s="3">
        <v>93</v>
      </c>
    </row>
    <row r="187" spans="5:6" x14ac:dyDescent="0.2">
      <c r="E187" s="2">
        <v>71</v>
      </c>
      <c r="F187" s="3">
        <v>370</v>
      </c>
    </row>
    <row r="188" spans="5:6" x14ac:dyDescent="0.2">
      <c r="E188" s="2">
        <v>72</v>
      </c>
      <c r="F188" s="3">
        <v>79</v>
      </c>
    </row>
    <row r="189" spans="5:6" x14ac:dyDescent="0.2">
      <c r="E189" s="2">
        <v>73</v>
      </c>
      <c r="F189" s="3">
        <v>133</v>
      </c>
    </row>
    <row r="190" spans="5:6" x14ac:dyDescent="0.2">
      <c r="E190" s="2">
        <v>74</v>
      </c>
      <c r="F190" s="3">
        <v>75</v>
      </c>
    </row>
    <row r="191" spans="5:6" x14ac:dyDescent="0.2">
      <c r="E191" s="2">
        <v>75</v>
      </c>
      <c r="F191" s="3">
        <v>213</v>
      </c>
    </row>
    <row r="192" spans="5:6" x14ac:dyDescent="0.2">
      <c r="E192" s="2">
        <v>76</v>
      </c>
      <c r="F192" s="3">
        <v>95</v>
      </c>
    </row>
    <row r="193" spans="5:6" x14ac:dyDescent="0.2">
      <c r="E193" s="2">
        <v>77</v>
      </c>
      <c r="F193" s="3">
        <v>112</v>
      </c>
    </row>
    <row r="194" spans="5:6" x14ac:dyDescent="0.2">
      <c r="E194" s="2">
        <v>78</v>
      </c>
      <c r="F194" s="3">
        <v>120</v>
      </c>
    </row>
    <row r="195" spans="5:6" x14ac:dyDescent="0.2">
      <c r="E195" s="2">
        <v>79</v>
      </c>
      <c r="F195" s="3">
        <v>142</v>
      </c>
    </row>
    <row r="196" spans="5:6" x14ac:dyDescent="0.2">
      <c r="E196" s="2">
        <v>80</v>
      </c>
      <c r="F196" s="3">
        <v>93</v>
      </c>
    </row>
    <row r="197" spans="5:6" x14ac:dyDescent="0.2">
      <c r="E197" s="2">
        <v>81</v>
      </c>
      <c r="F197" s="3">
        <v>59</v>
      </c>
    </row>
    <row r="198" spans="5:6" x14ac:dyDescent="0.2">
      <c r="E198" s="2">
        <v>82</v>
      </c>
      <c r="F198" s="3">
        <v>58</v>
      </c>
    </row>
    <row r="199" spans="5:6" x14ac:dyDescent="0.2">
      <c r="E199" s="2">
        <v>83</v>
      </c>
      <c r="F199" s="3">
        <v>92</v>
      </c>
    </row>
    <row r="200" spans="5:6" x14ac:dyDescent="0.2">
      <c r="E200" s="2">
        <v>84</v>
      </c>
      <c r="F200" s="3">
        <v>198</v>
      </c>
    </row>
    <row r="201" spans="5:6" x14ac:dyDescent="0.2">
      <c r="E201" s="2">
        <v>85</v>
      </c>
      <c r="F201" s="3">
        <v>110</v>
      </c>
    </row>
    <row r="202" spans="5:6" x14ac:dyDescent="0.2">
      <c r="E202" s="2">
        <v>86</v>
      </c>
      <c r="F202" s="3">
        <v>80</v>
      </c>
    </row>
    <row r="203" spans="5:6" x14ac:dyDescent="0.2">
      <c r="E203" s="2">
        <v>87</v>
      </c>
      <c r="F203" s="3">
        <v>116</v>
      </c>
    </row>
    <row r="204" spans="5:6" x14ac:dyDescent="0.2">
      <c r="E204" s="2">
        <v>88</v>
      </c>
      <c r="F204" s="3">
        <v>110</v>
      </c>
    </row>
    <row r="205" spans="5:6" x14ac:dyDescent="0.2">
      <c r="E205" s="2">
        <v>89</v>
      </c>
      <c r="F205" s="3">
        <v>81</v>
      </c>
    </row>
    <row r="206" spans="5:6" x14ac:dyDescent="0.2">
      <c r="E206" s="2">
        <v>90</v>
      </c>
      <c r="F206" s="3">
        <v>85</v>
      </c>
    </row>
    <row r="207" spans="5:6" x14ac:dyDescent="0.2">
      <c r="E207" s="2">
        <v>91</v>
      </c>
      <c r="F207" s="3">
        <v>89</v>
      </c>
    </row>
    <row r="208" spans="5:6" x14ac:dyDescent="0.2">
      <c r="E208" s="2">
        <v>92</v>
      </c>
      <c r="F208" s="3">
        <v>81</v>
      </c>
    </row>
    <row r="209" spans="5:6" x14ac:dyDescent="0.2">
      <c r="E209" s="2">
        <v>93</v>
      </c>
      <c r="F209" s="3">
        <v>117</v>
      </c>
    </row>
    <row r="210" spans="5:6" x14ac:dyDescent="0.2">
      <c r="E210" s="2">
        <v>94</v>
      </c>
      <c r="F210" s="3">
        <v>147</v>
      </c>
    </row>
    <row r="211" spans="5:6" x14ac:dyDescent="0.2">
      <c r="E211" s="2">
        <v>95</v>
      </c>
      <c r="F211" s="3">
        <v>134</v>
      </c>
    </row>
    <row r="212" spans="5:6" x14ac:dyDescent="0.2">
      <c r="E212" s="2">
        <v>96</v>
      </c>
      <c r="F212" s="3">
        <v>143</v>
      </c>
    </row>
    <row r="213" spans="5:6" x14ac:dyDescent="0.2">
      <c r="E213" s="2">
        <v>97</v>
      </c>
      <c r="F213" s="3">
        <v>134</v>
      </c>
    </row>
    <row r="214" spans="5:6" x14ac:dyDescent="0.2">
      <c r="E214" s="2">
        <v>98</v>
      </c>
      <c r="F214" s="3">
        <v>127</v>
      </c>
    </row>
    <row r="215" spans="5:6" x14ac:dyDescent="0.2">
      <c r="E215" s="2">
        <v>99</v>
      </c>
      <c r="F215" s="3">
        <v>105</v>
      </c>
    </row>
    <row r="216" spans="5:6" x14ac:dyDescent="0.2">
      <c r="E216" s="2">
        <v>100</v>
      </c>
      <c r="F216" s="3">
        <v>119</v>
      </c>
    </row>
    <row r="218" spans="5:6" x14ac:dyDescent="0.2">
      <c r="E218" s="4" t="s">
        <v>4</v>
      </c>
      <c r="F218" s="7">
        <f>AVERAGE(F117:F216)</f>
        <v>130.79</v>
      </c>
    </row>
    <row r="219" spans="5:6" x14ac:dyDescent="0.2">
      <c r="E219" s="6" t="s">
        <v>5</v>
      </c>
      <c r="F219" s="7">
        <f>PERCENTILE(F117:F216,0.5)</f>
        <v>110</v>
      </c>
    </row>
    <row r="220" spans="5:6" x14ac:dyDescent="0.2">
      <c r="E220" s="6" t="s">
        <v>6</v>
      </c>
      <c r="F220" s="7">
        <f>PERCENTILE(F117:F216,0.9)</f>
        <v>200.40000000000012</v>
      </c>
    </row>
    <row r="221" spans="5:6" x14ac:dyDescent="0.2">
      <c r="E221" s="6" t="s">
        <v>7</v>
      </c>
      <c r="F221" s="7">
        <f>PERCENTILE(F117:F216,0.95)</f>
        <v>290.3499999999998</v>
      </c>
    </row>
    <row r="222" spans="5:6" x14ac:dyDescent="0.2">
      <c r="E222" s="6" t="s">
        <v>8</v>
      </c>
      <c r="F222" s="7">
        <f>PERCENTILE(F117:F216,0.99)</f>
        <v>519.01000000000056</v>
      </c>
    </row>
    <row r="226" spans="1:8" x14ac:dyDescent="0.2">
      <c r="A226" s="17" t="s">
        <v>10</v>
      </c>
      <c r="B226" s="15"/>
      <c r="C226" s="15"/>
      <c r="D226" s="15"/>
      <c r="E226" s="15"/>
      <c r="F226" s="15"/>
      <c r="G226" s="15"/>
      <c r="H226" s="15"/>
    </row>
    <row r="227" spans="1:8" x14ac:dyDescent="0.2">
      <c r="A227" s="1" t="s">
        <v>11</v>
      </c>
      <c r="B227" s="1" t="s">
        <v>12</v>
      </c>
      <c r="C227" s="1" t="s">
        <v>13</v>
      </c>
      <c r="D227" s="1" t="s">
        <v>14</v>
      </c>
      <c r="E227" s="1" t="s">
        <v>15</v>
      </c>
    </row>
    <row r="228" spans="1:8" x14ac:dyDescent="0.2">
      <c r="A228" s="6" t="s">
        <v>16</v>
      </c>
      <c r="B228" s="8">
        <f>B107</f>
        <v>318.77</v>
      </c>
      <c r="C228" s="8">
        <f>F218</f>
        <v>130.79</v>
      </c>
      <c r="D228" s="8">
        <f>B228-C228</f>
        <v>187.98</v>
      </c>
      <c r="E228" s="9">
        <f>(D228/B228)*100</f>
        <v>58.970417542428713</v>
      </c>
    </row>
    <row r="229" spans="1:8" x14ac:dyDescent="0.2">
      <c r="A229" s="6" t="s">
        <v>17</v>
      </c>
      <c r="B229" s="8">
        <f>B108</f>
        <v>211</v>
      </c>
      <c r="C229" s="8">
        <f>F219</f>
        <v>110</v>
      </c>
      <c r="D229" s="8">
        <f>B229-C229</f>
        <v>101</v>
      </c>
      <c r="E229" s="9">
        <f>(D229/B229)*100</f>
        <v>47.867298578199055</v>
      </c>
    </row>
    <row r="230" spans="1:8" x14ac:dyDescent="0.2">
      <c r="A230" s="6" t="s">
        <v>6</v>
      </c>
      <c r="B230" s="8">
        <f>B109</f>
        <v>632.20000000000005</v>
      </c>
      <c r="C230" s="8">
        <f>F220</f>
        <v>200.40000000000012</v>
      </c>
      <c r="D230" s="8">
        <f>B230-C230</f>
        <v>431.79999999999995</v>
      </c>
      <c r="E230" s="9">
        <f>(D230/B230)*100</f>
        <v>68.301170515659592</v>
      </c>
    </row>
    <row r="231" spans="1:8" x14ac:dyDescent="0.2">
      <c r="A231" s="6" t="s">
        <v>7</v>
      </c>
      <c r="B231" s="8">
        <f>B110</f>
        <v>788.7999999999995</v>
      </c>
      <c r="C231" s="8">
        <f>F221</f>
        <v>290.3499999999998</v>
      </c>
      <c r="D231" s="8">
        <f>B231-C231</f>
        <v>498.4499999999997</v>
      </c>
      <c r="E231" s="9">
        <f>(D231/B231)*100</f>
        <v>63.190922920892504</v>
      </c>
    </row>
    <row r="232" spans="1:8" x14ac:dyDescent="0.2">
      <c r="A232" s="6" t="s">
        <v>8</v>
      </c>
      <c r="B232" s="8">
        <f>B111</f>
        <v>1511.7199999999877</v>
      </c>
      <c r="C232" s="8">
        <f>F222</f>
        <v>519.01000000000056</v>
      </c>
      <c r="D232" s="8">
        <f>B232-C232</f>
        <v>992.70999999998719</v>
      </c>
      <c r="E232" s="9">
        <f>(D232/B232)*100</f>
        <v>65.66758394411633</v>
      </c>
    </row>
    <row r="235" spans="1:8" x14ac:dyDescent="0.2">
      <c r="A235" s="18" t="s">
        <v>18</v>
      </c>
      <c r="B235" s="15"/>
      <c r="C235" s="15"/>
      <c r="D235" s="15"/>
      <c r="E235" s="15"/>
      <c r="F235" s="15"/>
      <c r="G235" s="15"/>
      <c r="H235" s="15"/>
    </row>
    <row r="236" spans="1:8" x14ac:dyDescent="0.2">
      <c r="A236" s="16" t="s">
        <v>19</v>
      </c>
      <c r="B236" s="15"/>
      <c r="C236" s="15"/>
      <c r="D236" s="15"/>
      <c r="E236" s="15"/>
      <c r="F236" s="15"/>
      <c r="G236" s="15"/>
      <c r="H236" s="15"/>
    </row>
    <row r="237" spans="1:8" x14ac:dyDescent="0.2">
      <c r="A237" s="16" t="s">
        <v>20</v>
      </c>
      <c r="B237" s="15"/>
      <c r="C237" s="15"/>
      <c r="D237" s="15"/>
      <c r="E237" s="15"/>
      <c r="F237" s="15"/>
      <c r="G237" s="15"/>
      <c r="H237" s="15"/>
    </row>
    <row r="238" spans="1:8" x14ac:dyDescent="0.2">
      <c r="A238" s="16" t="s">
        <v>21</v>
      </c>
      <c r="B238" s="15"/>
      <c r="C238" s="15"/>
      <c r="D238" s="15"/>
      <c r="E238" s="15"/>
      <c r="F238" s="15"/>
      <c r="G238" s="15"/>
      <c r="H238" s="15"/>
    </row>
    <row r="239" spans="1:8" x14ac:dyDescent="0.2">
      <c r="A239" s="16" t="s">
        <v>22</v>
      </c>
      <c r="B239" s="15"/>
      <c r="C239" s="15"/>
      <c r="D239" s="15"/>
      <c r="E239" s="15"/>
      <c r="F239" s="15"/>
      <c r="G239" s="15"/>
      <c r="H239" s="15"/>
    </row>
    <row r="240" spans="1:8" x14ac:dyDescent="0.2">
      <c r="A240" s="16" t="s">
        <v>23</v>
      </c>
      <c r="B240" s="15"/>
      <c r="C240" s="15"/>
      <c r="D240" s="15"/>
      <c r="E240" s="15"/>
      <c r="F240" s="15"/>
      <c r="G240" s="15"/>
      <c r="H240" s="15"/>
    </row>
    <row r="241" spans="1:8" x14ac:dyDescent="0.2">
      <c r="A241" s="16" t="s">
        <v>24</v>
      </c>
      <c r="B241" s="15"/>
      <c r="C241" s="15"/>
      <c r="D241" s="15"/>
      <c r="E241" s="15"/>
      <c r="F241" s="15"/>
      <c r="G241" s="15"/>
      <c r="H241" s="15"/>
    </row>
  </sheetData>
  <mergeCells count="11">
    <mergeCell ref="A241:H241"/>
    <mergeCell ref="A236:H236"/>
    <mergeCell ref="E115:H115"/>
    <mergeCell ref="A1:D1"/>
    <mergeCell ref="A237:H237"/>
    <mergeCell ref="A239:H239"/>
    <mergeCell ref="A240:H240"/>
    <mergeCell ref="A226:H226"/>
    <mergeCell ref="A235:H235"/>
    <mergeCell ref="A3:D3"/>
    <mergeCell ref="A238:H2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20" customWidth="1"/>
    <col min="2" max="3" width="18" customWidth="1"/>
    <col min="4" max="5" width="15" customWidth="1"/>
    <col min="6" max="6" width="35" customWidth="1"/>
  </cols>
  <sheetData>
    <row r="1" spans="1:6" ht="25" customHeight="1" x14ac:dyDescent="0.25">
      <c r="A1" s="24" t="s">
        <v>25</v>
      </c>
      <c r="B1" s="15"/>
      <c r="C1" s="15"/>
      <c r="D1" s="15"/>
      <c r="E1" s="15"/>
      <c r="F1" s="15"/>
    </row>
    <row r="3" spans="1:6" x14ac:dyDescent="0.2">
      <c r="A3" s="18" t="s">
        <v>26</v>
      </c>
      <c r="B3" s="15"/>
      <c r="C3" s="15"/>
      <c r="D3" s="15"/>
      <c r="E3" s="15"/>
      <c r="F3" s="15"/>
    </row>
    <row r="4" spans="1:6" x14ac:dyDescent="0.2">
      <c r="A4" s="15" t="s">
        <v>27</v>
      </c>
      <c r="B4" s="15"/>
      <c r="C4" s="15"/>
      <c r="D4" s="15"/>
      <c r="E4" s="15"/>
      <c r="F4" s="15"/>
    </row>
    <row r="5" spans="1:6" x14ac:dyDescent="0.2">
      <c r="A5" s="15" t="s">
        <v>28</v>
      </c>
      <c r="B5" s="15"/>
      <c r="C5" s="15"/>
      <c r="D5" s="15"/>
      <c r="E5" s="15"/>
      <c r="F5" s="15"/>
    </row>
    <row r="6" spans="1:6" x14ac:dyDescent="0.2">
      <c r="A6" s="15" t="s">
        <v>29</v>
      </c>
      <c r="B6" s="15"/>
      <c r="C6" s="15"/>
      <c r="D6" s="15"/>
      <c r="E6" s="15"/>
      <c r="F6" s="15"/>
    </row>
    <row r="7" spans="1:6" x14ac:dyDescent="0.2">
      <c r="A7" s="15" t="s">
        <v>30</v>
      </c>
      <c r="B7" s="15"/>
      <c r="C7" s="15"/>
      <c r="D7" s="15"/>
      <c r="E7" s="15"/>
      <c r="F7" s="15"/>
    </row>
    <row r="8" spans="1:6" x14ac:dyDescent="0.2">
      <c r="A8" s="15" t="s">
        <v>31</v>
      </c>
      <c r="B8" s="15"/>
      <c r="C8" s="15"/>
      <c r="D8" s="15"/>
      <c r="E8" s="15"/>
      <c r="F8" s="15"/>
    </row>
    <row r="9" spans="1:6" x14ac:dyDescent="0.2">
      <c r="A9" s="15" t="s">
        <v>32</v>
      </c>
      <c r="B9" s="15"/>
      <c r="C9" s="15"/>
      <c r="D9" s="15"/>
      <c r="E9" s="15"/>
      <c r="F9" s="15"/>
    </row>
    <row r="10" spans="1:6" x14ac:dyDescent="0.2">
      <c r="A10" s="15" t="s">
        <v>33</v>
      </c>
      <c r="B10" s="15"/>
      <c r="C10" s="15"/>
      <c r="D10" s="15"/>
      <c r="E10" s="15"/>
      <c r="F10" s="15"/>
    </row>
    <row r="11" spans="1:6" x14ac:dyDescent="0.2">
      <c r="A11" s="15" t="s">
        <v>34</v>
      </c>
      <c r="B11" s="15"/>
      <c r="C11" s="15"/>
      <c r="D11" s="15"/>
      <c r="E11" s="15"/>
      <c r="F11" s="15"/>
    </row>
    <row r="12" spans="1:6" x14ac:dyDescent="0.2">
      <c r="A12" s="15" t="s">
        <v>35</v>
      </c>
      <c r="B12" s="15"/>
      <c r="C12" s="15"/>
      <c r="D12" s="15"/>
      <c r="E12" s="15"/>
      <c r="F12" s="15"/>
    </row>
    <row r="14" spans="1:6" x14ac:dyDescent="0.2">
      <c r="A14" s="18" t="s">
        <v>36</v>
      </c>
      <c r="B14" s="15"/>
      <c r="C14" s="15"/>
      <c r="D14" s="15"/>
      <c r="E14" s="15"/>
      <c r="F14" s="15"/>
    </row>
    <row r="16" spans="1:6" ht="32" x14ac:dyDescent="0.2">
      <c r="A16" s="10" t="s">
        <v>11</v>
      </c>
      <c r="B16" s="10" t="s">
        <v>37</v>
      </c>
      <c r="C16" s="10" t="s">
        <v>38</v>
      </c>
      <c r="D16" s="10" t="s">
        <v>14</v>
      </c>
      <c r="E16" s="10" t="s">
        <v>15</v>
      </c>
      <c r="F16" s="10" t="s">
        <v>39</v>
      </c>
    </row>
    <row r="17" spans="1:6" ht="16" x14ac:dyDescent="0.2">
      <c r="A17" s="6" t="s">
        <v>16</v>
      </c>
      <c r="B17" s="11">
        <v>318.8</v>
      </c>
      <c r="C17" s="11">
        <v>131.1</v>
      </c>
      <c r="D17" s="12">
        <v>187.7</v>
      </c>
      <c r="E17" s="3">
        <f>58.9%</f>
        <v>0.58899999999999997</v>
      </c>
      <c r="F17" s="13" t="s">
        <v>40</v>
      </c>
    </row>
    <row r="18" spans="1:6" ht="16" x14ac:dyDescent="0.2">
      <c r="A18" s="6" t="s">
        <v>17</v>
      </c>
      <c r="B18" s="11">
        <v>211</v>
      </c>
      <c r="C18" s="11">
        <v>110</v>
      </c>
      <c r="D18" s="12">
        <v>101</v>
      </c>
      <c r="E18" s="3">
        <f>47.9%</f>
        <v>0.47899999999999998</v>
      </c>
      <c r="F18" s="13" t="s">
        <v>41</v>
      </c>
    </row>
    <row r="19" spans="1:6" ht="16" x14ac:dyDescent="0.2">
      <c r="A19" s="6" t="s">
        <v>6</v>
      </c>
      <c r="B19" s="11">
        <v>632.20000000000005</v>
      </c>
      <c r="C19" s="11">
        <v>207.4</v>
      </c>
      <c r="D19" s="12">
        <v>424.8</v>
      </c>
      <c r="E19" s="3">
        <f>67.2%</f>
        <v>0.67200000000000004</v>
      </c>
      <c r="F19" s="13" t="s">
        <v>42</v>
      </c>
    </row>
    <row r="20" spans="1:6" ht="16" x14ac:dyDescent="0.2">
      <c r="A20" s="6" t="s">
        <v>7</v>
      </c>
      <c r="B20" s="11">
        <v>788.8</v>
      </c>
      <c r="C20" s="11">
        <v>307.10000000000002</v>
      </c>
      <c r="D20" s="12">
        <v>481.7</v>
      </c>
      <c r="E20" s="3">
        <f>61.1%</f>
        <v>0.61099999999999999</v>
      </c>
      <c r="F20" s="13" t="s">
        <v>43</v>
      </c>
    </row>
    <row r="21" spans="1:6" ht="16" x14ac:dyDescent="0.2">
      <c r="A21" s="6" t="s">
        <v>8</v>
      </c>
      <c r="B21" s="11">
        <v>1465.4</v>
      </c>
      <c r="C21" s="11">
        <v>524.1</v>
      </c>
      <c r="D21" s="12">
        <v>941.4</v>
      </c>
      <c r="E21" s="3">
        <f>64.2%</f>
        <v>0.64200000000000002</v>
      </c>
      <c r="F21" s="13" t="s">
        <v>44</v>
      </c>
    </row>
    <row r="24" spans="1:6" x14ac:dyDescent="0.2">
      <c r="A24" s="23" t="s">
        <v>45</v>
      </c>
      <c r="B24" s="15"/>
      <c r="C24" s="15"/>
      <c r="D24" s="15"/>
      <c r="E24" s="15"/>
      <c r="F24" s="15"/>
    </row>
    <row r="25" spans="1:6" x14ac:dyDescent="0.2">
      <c r="A25" s="22" t="s">
        <v>46</v>
      </c>
      <c r="B25" s="15"/>
      <c r="C25" s="15"/>
      <c r="D25" s="15"/>
      <c r="E25" s="15"/>
      <c r="F25" s="15"/>
    </row>
    <row r="26" spans="1:6" x14ac:dyDescent="0.2">
      <c r="A26" s="22" t="s">
        <v>47</v>
      </c>
      <c r="B26" s="15"/>
      <c r="C26" s="15"/>
      <c r="D26" s="15"/>
      <c r="E26" s="15"/>
      <c r="F26" s="15"/>
    </row>
    <row r="27" spans="1:6" x14ac:dyDescent="0.2">
      <c r="A27" s="22" t="s">
        <v>48</v>
      </c>
      <c r="B27" s="15"/>
      <c r="C27" s="15"/>
      <c r="D27" s="15"/>
      <c r="E27" s="15"/>
      <c r="F27" s="15"/>
    </row>
    <row r="28" spans="1:6" x14ac:dyDescent="0.2">
      <c r="A28" s="22"/>
      <c r="B28" s="15"/>
      <c r="C28" s="15"/>
      <c r="D28" s="15"/>
      <c r="E28" s="15"/>
      <c r="F28" s="15"/>
    </row>
    <row r="29" spans="1:6" x14ac:dyDescent="0.2">
      <c r="A29" s="22" t="s">
        <v>49</v>
      </c>
      <c r="B29" s="15"/>
      <c r="C29" s="15"/>
      <c r="D29" s="15"/>
      <c r="E29" s="15"/>
      <c r="F29" s="15"/>
    </row>
    <row r="30" spans="1:6" x14ac:dyDescent="0.2">
      <c r="A30" s="22" t="s">
        <v>50</v>
      </c>
      <c r="B30" s="15"/>
      <c r="C30" s="15"/>
      <c r="D30" s="15"/>
      <c r="E30" s="15"/>
      <c r="F30" s="15"/>
    </row>
    <row r="31" spans="1:6" x14ac:dyDescent="0.2">
      <c r="A31" s="22" t="s">
        <v>51</v>
      </c>
      <c r="B31" s="15"/>
      <c r="C31" s="15"/>
      <c r="D31" s="15"/>
      <c r="E31" s="15"/>
      <c r="F31" s="15"/>
    </row>
    <row r="32" spans="1:6" x14ac:dyDescent="0.2">
      <c r="A32" s="22"/>
      <c r="B32" s="15"/>
      <c r="C32" s="15"/>
      <c r="D32" s="15"/>
      <c r="E32" s="15"/>
      <c r="F32" s="15"/>
    </row>
    <row r="33" spans="1:6" x14ac:dyDescent="0.2">
      <c r="A33" s="22" t="s">
        <v>52</v>
      </c>
      <c r="B33" s="15"/>
      <c r="C33" s="15"/>
      <c r="D33" s="15"/>
      <c r="E33" s="15"/>
      <c r="F33" s="15"/>
    </row>
    <row r="34" spans="1:6" x14ac:dyDescent="0.2">
      <c r="A34" s="22" t="s">
        <v>53</v>
      </c>
      <c r="B34" s="15"/>
      <c r="C34" s="15"/>
      <c r="D34" s="15"/>
      <c r="E34" s="15"/>
      <c r="F34" s="15"/>
    </row>
    <row r="35" spans="1:6" x14ac:dyDescent="0.2">
      <c r="A35" s="22" t="s">
        <v>54</v>
      </c>
      <c r="B35" s="15"/>
      <c r="C35" s="15"/>
      <c r="D35" s="15"/>
      <c r="E35" s="15"/>
      <c r="F35" s="15"/>
    </row>
    <row r="36" spans="1:6" x14ac:dyDescent="0.2">
      <c r="A36" s="22"/>
      <c r="B36" s="15"/>
      <c r="C36" s="15"/>
      <c r="D36" s="15"/>
      <c r="E36" s="15"/>
      <c r="F36" s="15"/>
    </row>
    <row r="37" spans="1:6" x14ac:dyDescent="0.2">
      <c r="A37" s="22" t="s">
        <v>55</v>
      </c>
      <c r="B37" s="15"/>
      <c r="C37" s="15"/>
      <c r="D37" s="15"/>
      <c r="E37" s="15"/>
      <c r="F37" s="15"/>
    </row>
    <row r="38" spans="1:6" x14ac:dyDescent="0.2">
      <c r="A38" s="22" t="s">
        <v>56</v>
      </c>
      <c r="B38" s="15"/>
      <c r="C38" s="15"/>
      <c r="D38" s="15"/>
      <c r="E38" s="15"/>
      <c r="F38" s="15"/>
    </row>
    <row r="39" spans="1:6" x14ac:dyDescent="0.2">
      <c r="A39" s="22" t="s">
        <v>57</v>
      </c>
      <c r="B39" s="15"/>
      <c r="C39" s="15"/>
      <c r="D39" s="15"/>
      <c r="E39" s="15"/>
      <c r="F39" s="15"/>
    </row>
    <row r="40" spans="1:6" x14ac:dyDescent="0.2">
      <c r="A40" s="22"/>
      <c r="B40" s="15"/>
      <c r="C40" s="15"/>
      <c r="D40" s="15"/>
      <c r="E40" s="15"/>
      <c r="F40" s="15"/>
    </row>
    <row r="41" spans="1:6" x14ac:dyDescent="0.2">
      <c r="A41" s="21" t="s">
        <v>58</v>
      </c>
      <c r="B41" s="15"/>
      <c r="C41" s="15"/>
      <c r="D41" s="15"/>
      <c r="E41" s="15"/>
      <c r="F41" s="15"/>
    </row>
    <row r="42" spans="1:6" x14ac:dyDescent="0.2">
      <c r="A42" s="22" t="s">
        <v>59</v>
      </c>
      <c r="B42" s="15"/>
      <c r="C42" s="15"/>
      <c r="D42" s="15"/>
      <c r="E42" s="15"/>
      <c r="F42" s="15"/>
    </row>
    <row r="43" spans="1:6" x14ac:dyDescent="0.2">
      <c r="A43" s="22" t="s">
        <v>60</v>
      </c>
      <c r="B43" s="15"/>
      <c r="C43" s="15"/>
      <c r="D43" s="15"/>
      <c r="E43" s="15"/>
      <c r="F43" s="15"/>
    </row>
    <row r="44" spans="1:6" x14ac:dyDescent="0.2">
      <c r="A44" s="22" t="s">
        <v>61</v>
      </c>
      <c r="B44" s="15"/>
      <c r="C44" s="15"/>
      <c r="D44" s="15"/>
      <c r="E44" s="15"/>
      <c r="F44" s="15"/>
    </row>
  </sheetData>
  <mergeCells count="33">
    <mergeCell ref="A1:F1"/>
    <mergeCell ref="A6:F6"/>
    <mergeCell ref="A7:F7"/>
    <mergeCell ref="A25:F25"/>
    <mergeCell ref="A43:F43"/>
    <mergeCell ref="A38:F38"/>
    <mergeCell ref="A10:F10"/>
    <mergeCell ref="A28:F28"/>
    <mergeCell ref="A44:F44"/>
    <mergeCell ref="A31:F31"/>
    <mergeCell ref="A34:F34"/>
    <mergeCell ref="A40:F40"/>
    <mergeCell ref="A30:F30"/>
    <mergeCell ref="A39:F39"/>
    <mergeCell ref="A24:F24"/>
    <mergeCell ref="A11:F11"/>
    <mergeCell ref="A36:F36"/>
    <mergeCell ref="A3:F3"/>
    <mergeCell ref="A33:F33"/>
    <mergeCell ref="A42:F42"/>
    <mergeCell ref="A14:F14"/>
    <mergeCell ref="A5:F5"/>
    <mergeCell ref="A32:F32"/>
    <mergeCell ref="A8:F8"/>
    <mergeCell ref="A35:F35"/>
    <mergeCell ref="A4:F4"/>
    <mergeCell ref="A29:F29"/>
    <mergeCell ref="A9:F9"/>
    <mergeCell ref="A41:F41"/>
    <mergeCell ref="A37:F37"/>
    <mergeCell ref="A27:F27"/>
    <mergeCell ref="A12:F1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Percentyle - Zadanie</vt:lpstr>
      <vt:lpstr>ROZWIĄZANIE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Gajda</cp:lastModifiedBy>
  <dcterms:created xsi:type="dcterms:W3CDTF">2026-03-08T13:20:58Z</dcterms:created>
  <dcterms:modified xsi:type="dcterms:W3CDTF">2026-03-08T13:31:31Z</dcterms:modified>
</cp:coreProperties>
</file>